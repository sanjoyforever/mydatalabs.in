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atest Week" sheetId="2" state="visible" r:id="rId2"/>
    <sheet xmlns:r="http://schemas.openxmlformats.org/officeDocument/2006/relationships" name="30-Week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i val="1"/>
    </font>
    <font>
      <b val="1"/>
      <color rgb="00FFFFFF"/>
    </font>
    <font>
      <b val="1"/>
      <sz val="13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7F3FF"/>
      </patternFill>
    </fill>
    <fill>
      <patternFill patternType="solid">
        <fgColor rgb="00D1FADF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right"/>
    </xf>
    <xf numFmtId="0" fontId="6" fillId="4" borderId="1" pivotButton="0" quotePrefix="0" xfId="0"/>
    <xf numFmtId="0" fontId="7" fillId="0" borderId="0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HMX-INDEX — calculation verification workbook</t>
        </is>
      </c>
    </row>
    <row r="3">
      <c r="B3" t="inlineStr"/>
    </row>
    <row r="4">
      <c r="B4" t="inlineStr">
        <is>
          <t>This file reproduces the Hormuz Crisis Index formula with live Excel formulas,</t>
        </is>
      </c>
    </row>
    <row r="5">
      <c r="B5" t="inlineStr">
        <is>
          <t>not pasted values. Yellow cells are inputs (baseline / current / cap / weight);</t>
        </is>
      </c>
    </row>
    <row r="6">
      <c r="B6" t="inlineStr">
        <is>
          <t>blue cells are formulas that recompute if you edit a yellow cell; green is the</t>
        </is>
      </c>
    </row>
    <row r="7">
      <c r="B7" t="inlineStr">
        <is>
          <t>final composite score.</t>
        </is>
      </c>
    </row>
    <row r="8">
      <c r="B8" t="inlineStr"/>
    </row>
    <row r="9">
      <c r="B9" t="inlineStr">
        <is>
          <t>Formula (see app/scoring.py -&gt; stress_score() and compute_composite()):</t>
        </is>
      </c>
    </row>
    <row r="10">
      <c r="B10" t="inlineStr"/>
    </row>
    <row r="11">
      <c r="B11" t="inlineStr">
        <is>
          <t xml:space="preserve">  pct_change = (current - baseline) / baseline * 100</t>
        </is>
      </c>
    </row>
    <row r="12">
      <c r="B12" t="inlineStr">
        <is>
          <t xml:space="preserve">  if invert:  pct_change = -pct_change</t>
        </is>
      </c>
    </row>
    <row r="13">
      <c r="B13" t="inlineStr">
        <is>
          <t xml:space="preserve">  stress_score = CLAMP( pct_change / cap_pct * 100 , floor=0, 100 )</t>
        </is>
      </c>
    </row>
    <row r="14">
      <c r="B14" t="inlineStr">
        <is>
          <t xml:space="preserve">  composite = 100.0 + SUM( weight_i * stress_score_i )</t>
        </is>
      </c>
    </row>
    <row r="15">
      <c r="B15" t="inlineStr"/>
    </row>
    <row r="16">
      <c r="B16" t="inlineStr">
        <is>
          <t>Sheet 'Latest Week': the 7 components at their most recent published values,</t>
        </is>
      </c>
    </row>
    <row r="17">
      <c r="B17" t="inlineStr">
        <is>
          <t xml:space="preserve">  fully editable — change any yellow cell and the score recalculates.</t>
        </is>
      </c>
    </row>
    <row r="18">
      <c r="B18" t="inlineStr"/>
    </row>
    <row r="19">
      <c r="B19" t="inlineStr">
        <is>
          <t>Sheet '30-Week History': one row per published week. Column set 'Recomputed</t>
        </is>
      </c>
    </row>
    <row r="20">
      <c r="B20" t="inlineStr">
        <is>
          <t xml:space="preserve">  Score' is built from the same live formulas; 'Published Score' is what the</t>
        </is>
      </c>
    </row>
    <row r="21">
      <c r="B21" t="inlineStr">
        <is>
          <t xml:space="preserve">  site currently shows for that week (from app/data/hormuz_history.json).</t>
        </is>
      </c>
    </row>
    <row r="22">
      <c r="B22" t="inlineStr">
        <is>
          <t xml:space="preserve">  'Diff' should be 0.0 (or a rounding sliver) for every row — that is the</t>
        </is>
      </c>
    </row>
    <row r="23">
      <c r="B23" t="inlineStr">
        <is>
          <t xml:space="preserve">  proof this sheet matches the code, not a separate re-derivation of it.</t>
        </is>
      </c>
    </row>
    <row r="24">
      <c r="B24" t="inlineStr"/>
    </row>
    <row r="25">
      <c r="B25" t="inlineStr">
        <is>
          <t>Source of the numbers: app/indices/hormuz.py (component weights, caps,</t>
        </is>
      </c>
    </row>
    <row r="26">
      <c r="B26" t="inlineStr">
        <is>
          <t xml:space="preserve">  baseline values) and app/data/hormuz_history.json (weekly raw inputs and</t>
        </is>
      </c>
    </row>
    <row r="27">
      <c r="B27" t="inlineStr">
        <is>
          <t xml:space="preserve">  published scores), both in the mydatalabs-in repository.</t>
        </is>
      </c>
    </row>
    <row r="28">
      <c r="B28" t="inlineStr">
        <is>
          <t xml:space="preserve">  Snapshot taken: 2026-07-27 (latest published week at export time).</t>
        </is>
      </c>
    </row>
    <row r="30">
      <c r="B30" s="2" t="inlineStr">
        <is>
          <t>Legend:</t>
        </is>
      </c>
    </row>
    <row r="31">
      <c r="B31" s="3" t="inlineStr">
        <is>
          <t>Input</t>
        </is>
      </c>
    </row>
    <row r="32">
      <c r="B32" s="4" t="inlineStr">
        <is>
          <t>Formula</t>
        </is>
      </c>
    </row>
    <row r="33">
      <c r="B33" s="5" t="inlineStr">
        <is>
          <t>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3" customWidth="1" min="3" max="3"/>
    <col width="13" customWidth="1" min="4" max="4"/>
    <col width="8" customWidth="1" min="5" max="5"/>
    <col width="11" customWidth="1" min="6" max="6"/>
    <col width="7" customWidth="1" min="7" max="7"/>
    <col width="18" customWidth="1" min="8" max="8"/>
    <col width="16" customWidth="1" min="9" max="9"/>
    <col width="16" customWidth="1" min="10" max="10"/>
    <col width="70" customWidth="1" min="11" max="11"/>
  </cols>
  <sheetData>
    <row r="1">
      <c r="A1" s="1" t="inlineStr">
        <is>
          <t>HMX-INDEX — latest published week: 2026-07-27</t>
        </is>
      </c>
    </row>
    <row r="2">
      <c r="A2" s="6" t="inlineStr">
        <is>
          <t>Published composite score for this week:</t>
        </is>
      </c>
      <c r="B2" s="7" t="n">
        <v>172.8</v>
      </c>
    </row>
    <row r="4">
      <c r="A4" s="8" t="inlineStr">
        <is>
          <t>Component</t>
        </is>
      </c>
      <c r="B4" s="8" t="inlineStr">
        <is>
          <t>Weight</t>
        </is>
      </c>
      <c r="C4" s="8" t="inlineStr">
        <is>
          <t>Baseline value</t>
        </is>
      </c>
      <c r="D4" s="8" t="inlineStr">
        <is>
          <t>Current value</t>
        </is>
      </c>
      <c r="E4" s="8" t="inlineStr">
        <is>
          <t>Cap %</t>
        </is>
      </c>
      <c r="F4" s="8" t="inlineStr">
        <is>
          <t>Invert (1/0)</t>
        </is>
      </c>
      <c r="G4" s="8" t="inlineStr">
        <is>
          <t>Floor</t>
        </is>
      </c>
      <c r="H4" s="8" t="inlineStr">
        <is>
          <t>% change from baseline</t>
        </is>
      </c>
      <c r="I4" s="8" t="inlineStr">
        <is>
          <t>Stress score (0-100)</t>
        </is>
      </c>
      <c r="J4" s="8" t="inlineStr">
        <is>
          <t>Weighted contribution</t>
        </is>
      </c>
      <c r="K4" s="8" t="inlineStr">
        <is>
          <t>Cap rationale</t>
        </is>
      </c>
    </row>
    <row r="5">
      <c r="A5" s="9" t="inlineStr">
        <is>
          <t>Brent Crude</t>
        </is>
      </c>
      <c r="B5" s="9" t="n">
        <v>0.3</v>
      </c>
      <c r="C5" s="3" t="n">
        <v>64.77</v>
      </c>
      <c r="D5" s="3" t="n">
        <v>92.83999633789062</v>
      </c>
      <c r="E5" s="3" t="n">
        <v>55</v>
      </c>
      <c r="F5" s="3" t="n">
        <v>0</v>
      </c>
      <c r="G5" s="3" t="n">
        <v>0</v>
      </c>
      <c r="H5" s="4">
        <f>IF(C5=0,0,(1-2*F5)*(D5-C5)/C5*100)</f>
        <v/>
      </c>
      <c r="I5" s="4">
        <f>MAX(G5,MIN(100,H5/E5*100))</f>
        <v/>
      </c>
      <c r="J5" s="4">
        <f>B5*I5</f>
        <v/>
      </c>
      <c r="K5" s="9" t="inlineStr">
        <is>
          <t>+55% approximates the peak move in Brent during the 2022 Ukraine invasion shock (~$78 to ~$128 over five weeks), the largest modern supply-driven repricing outside 2008.</t>
        </is>
      </c>
    </row>
    <row r="6">
      <c r="A6" s="9" t="inlineStr">
        <is>
          <t>Hormuz Transits (all commercial vessels)</t>
        </is>
      </c>
      <c r="B6" s="9" t="n">
        <v>0.15</v>
      </c>
      <c r="C6" s="3" t="n">
        <v>616</v>
      </c>
      <c r="D6" s="3" t="n">
        <v>105</v>
      </c>
      <c r="E6" s="3" t="n">
        <v>90</v>
      </c>
      <c r="F6" s="3" t="n">
        <v>1</v>
      </c>
      <c r="G6" s="3" t="n">
        <v>0</v>
      </c>
      <c r="H6" s="4">
        <f>IF(C6=0,0,(1-2*F6)*(D6-C6)/C6*100)</f>
        <v/>
      </c>
      <c r="I6" s="4">
        <f>MAX(G6,MIN(100,H6/E6*100))</f>
        <v/>
      </c>
      <c r="J6" s="4">
        <f>B6*I6</f>
        <v/>
      </c>
      <c r="K6" s="9" t="inlineStr">
        <is>
          <t>-90% is calibrated on the 2026 closure itself: PortWatch recorded 15 vessels/day against an 88/day baseline on 2026-07-19, an 83% decline, and single days near-total. The previous -50% cap saturated at a halving, so a disrupted strait and a closed one scored identically — the one discrimination this component exists to make. -90% keeps that range resolvable while still reserving the top of the scale for full closure.</t>
        </is>
      </c>
    </row>
    <row r="7">
      <c r="A7" s="9" t="inlineStr">
        <is>
          <t>War-Risk Insurance (per transit)</t>
        </is>
      </c>
      <c r="B7" s="9" t="n">
        <v>0.15</v>
      </c>
      <c r="C7" s="3" t="n">
        <v>0.25</v>
      </c>
      <c r="D7" s="3" t="n">
        <v>7.5</v>
      </c>
      <c r="E7" s="3" t="n">
        <v>3900</v>
      </c>
      <c r="F7" s="3" t="n">
        <v>0</v>
      </c>
      <c r="G7" s="3" t="n">
        <v>0</v>
      </c>
      <c r="H7" s="4">
        <f>IF(C7=0,0,(1-2*F7)*(D7-C7)/C7*100)</f>
        <v/>
      </c>
      <c r="I7" s="4">
        <f>MAX(G7,MIN(100,H7/E7*100))</f>
        <v/>
      </c>
      <c r="J7" s="4">
        <f>B7*I7</f>
        <v/>
      </c>
      <c r="K7" s="9" t="inlineStr">
        <is>
          <t>+3900% takes the rate from a 0.25% pre-war baseline to 10% of hull value, the peak quoted for Hormuz transits during this crisis. The previous +400% cap topped out at 0.50% of hull — a level the market passed in March 2026 — so a 5x reading and a 40x reading both scored 100 and the component could not rank severity within the crisis it was built to measure.</t>
        </is>
      </c>
    </row>
    <row r="8">
      <c r="A8" s="9" t="inlineStr">
        <is>
          <t>Tanker Freight (BDTI)</t>
        </is>
      </c>
      <c r="B8" s="9" t="n">
        <v>0.15</v>
      </c>
      <c r="C8" s="3" t="n">
        <v>900</v>
      </c>
      <c r="D8" s="3" t="n">
        <v>1360</v>
      </c>
      <c r="E8" s="3" t="n">
        <v>75</v>
      </c>
      <c r="F8" s="3" t="n">
        <v>0</v>
      </c>
      <c r="G8" s="3" t="n">
        <v>0</v>
      </c>
      <c r="H8" s="4">
        <f>IF(C8=0,0,(1-2*F8)*(D8-C8)/C8*100)</f>
        <v/>
      </c>
      <c r="I8" s="4">
        <f>MAX(G8,MIN(100,H8/E8*100))</f>
        <v/>
      </c>
      <c r="J8" s="4">
        <f>B8*I8</f>
        <v/>
      </c>
      <c r="K8" s="9" t="inlineStr">
        <is>
          <t>+75% on the Baltic Dirty Tanker Index approximates the 2022 dislocation peak, when rerouting and sanctions repriced dirty tanker tonne-miles.</t>
        </is>
      </c>
    </row>
    <row r="9">
      <c r="A9" s="9" t="inlineStr">
        <is>
          <t>TTF European Gas</t>
        </is>
      </c>
      <c r="B9" s="9" t="n">
        <v>0.1</v>
      </c>
      <c r="C9" s="3" t="n">
        <v>34.11</v>
      </c>
      <c r="D9" s="3" t="n">
        <v>63.57500076293945</v>
      </c>
      <c r="E9" s="3" t="n">
        <v>95</v>
      </c>
      <c r="F9" s="3" t="n">
        <v>0</v>
      </c>
      <c r="G9" s="3" t="n">
        <v>0</v>
      </c>
      <c r="H9" s="4">
        <f>IF(C9=0,0,(1-2*F9)*(D9-C9)/C9*100)</f>
        <v/>
      </c>
      <c r="I9" s="4">
        <f>MAX(G9,MIN(100,H9/E9*100))</f>
        <v/>
      </c>
      <c r="J9" s="4">
        <f>B9*I9</f>
        <v/>
      </c>
      <c r="K9" s="9" t="inlineStr">
        <is>
          <t>+95% is deliberately wider than Brent's cap because TTF is structurally more volatile; the 2022 European gas crisis moved several multiples of this, so the cap marks 'severe' rather than 'worst imaginable'.</t>
        </is>
      </c>
    </row>
    <row r="10">
      <c r="A10" s="9" t="inlineStr">
        <is>
          <t>VIX Volatility Index</t>
        </is>
      </c>
      <c r="B10" s="9" t="n">
        <v>0.1</v>
      </c>
      <c r="C10" s="3" t="n">
        <v>16.05</v>
      </c>
      <c r="D10" s="3" t="n">
        <v>18.70000076293945</v>
      </c>
      <c r="E10" s="3" t="n">
        <v>200</v>
      </c>
      <c r="F10" s="3" t="n">
        <v>0</v>
      </c>
      <c r="G10" s="3" t="n">
        <v>0</v>
      </c>
      <c r="H10" s="4">
        <f>IF(C10=0,0,(1-2*F10)*(D10-C10)/C10*100)</f>
        <v/>
      </c>
      <c r="I10" s="4">
        <f>MAX(G10,MIN(100,H10/E10*100))</f>
        <v/>
      </c>
      <c r="J10" s="4">
        <f>B10*I10</f>
        <v/>
      </c>
      <c r="K10" s="9" t="inlineStr">
        <is>
          <t>+200% takes VIX from a ~16.1 baseline to ~48, above the March 2020 and October 2008 equity stress peaks.</t>
        </is>
      </c>
    </row>
    <row r="11">
      <c r="A11" s="9" t="inlineStr">
        <is>
          <t>Cape of Good Hope Reroutes</t>
        </is>
      </c>
      <c r="B11" s="9" t="n">
        <v>0.05</v>
      </c>
      <c r="C11" s="3" t="n">
        <v>8</v>
      </c>
      <c r="D11" s="3" t="n">
        <v>24</v>
      </c>
      <c r="E11" s="3" t="n">
        <v>250</v>
      </c>
      <c r="F11" s="3" t="n">
        <v>0</v>
      </c>
      <c r="G11" s="3" t="n">
        <v>0</v>
      </c>
      <c r="H11" s="4">
        <f>IF(C11=0,0,(1-2*F11)*(D11-C11)/C11*100)</f>
        <v/>
      </c>
      <c r="I11" s="4">
        <f>MAX(G11,MIN(100,H11/E11*100))</f>
        <v/>
      </c>
      <c r="J11" s="4">
        <f>B11*I11</f>
        <v/>
      </c>
      <c r="K11" s="9" t="inlineStr">
        <is>
          <t>+250% takes reroutes from an 8% baseline to 28% of regional traffic, comparable to the Suez diversion share observed in early 2024.</t>
        </is>
      </c>
    </row>
    <row r="13">
      <c r="I13" s="10" t="inlineStr">
        <is>
          <t>Composite score = 100 +</t>
        </is>
      </c>
      <c r="J13" s="11">
        <f>100+SUM(J5:J11)</f>
        <v/>
      </c>
    </row>
    <row r="14">
      <c r="I14" s="12" t="inlineStr">
        <is>
          <t>Published score (for comparison):</t>
        </is>
      </c>
      <c r="J14" s="13" t="n">
        <v>172.8</v>
      </c>
    </row>
    <row r="15">
      <c r="I15" s="12" t="inlineStr">
        <is>
          <t>Diff:</t>
        </is>
      </c>
      <c r="J15" s="13">
        <f>J13-J14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8" customWidth="1" min="11" max="11"/>
  </cols>
  <sheetData>
    <row r="1">
      <c r="A1" s="1" t="inlineStr">
        <is>
          <t>HMX-INDEX — full published weekly history, recomputed with live formulas</t>
        </is>
      </c>
    </row>
    <row r="3">
      <c r="A3" s="2" t="inlineStr">
        <is>
          <t>Component reference (used by every row below)</t>
        </is>
      </c>
    </row>
    <row r="4">
      <c r="A4" s="8" t="inlineStr">
        <is>
          <t>key</t>
        </is>
      </c>
      <c r="B4" s="8" t="inlineStr">
        <is>
          <t>label</t>
        </is>
      </c>
      <c r="C4" s="8" t="inlineStr">
        <is>
          <t>weight</t>
        </is>
      </c>
      <c r="D4" s="8" t="inlineStr">
        <is>
          <t>baseline</t>
        </is>
      </c>
      <c r="E4" s="8" t="inlineStr">
        <is>
          <t>cap_pct</t>
        </is>
      </c>
      <c r="F4" s="8" t="inlineStr">
        <is>
          <t>invert</t>
        </is>
      </c>
    </row>
    <row r="5">
      <c r="A5" s="9" t="inlineStr">
        <is>
          <t>brent</t>
        </is>
      </c>
      <c r="B5" s="9" t="inlineStr">
        <is>
          <t>Brent Crude</t>
        </is>
      </c>
      <c r="C5" s="9" t="n">
        <v>0.3</v>
      </c>
      <c r="D5" s="3" t="n">
        <v>64.77</v>
      </c>
      <c r="E5" s="3" t="n">
        <v>55</v>
      </c>
      <c r="F5" s="3" t="n">
        <v>0</v>
      </c>
    </row>
    <row r="6">
      <c r="A6" s="9" t="inlineStr">
        <is>
          <t>ship_traffic</t>
        </is>
      </c>
      <c r="B6" s="9" t="inlineStr">
        <is>
          <t>Hormuz Transits (all commercial vessels)</t>
        </is>
      </c>
      <c r="C6" s="9" t="n">
        <v>0.15</v>
      </c>
      <c r="D6" s="3" t="n">
        <v>616</v>
      </c>
      <c r="E6" s="3" t="n">
        <v>90</v>
      </c>
      <c r="F6" s="3" t="n">
        <v>1</v>
      </c>
    </row>
    <row r="7">
      <c r="A7" s="9" t="inlineStr">
        <is>
          <t>war_risk</t>
        </is>
      </c>
      <c r="B7" s="9" t="inlineStr">
        <is>
          <t>War-Risk Insurance (per transit)</t>
        </is>
      </c>
      <c r="C7" s="9" t="n">
        <v>0.15</v>
      </c>
      <c r="D7" s="3" t="n">
        <v>0.25</v>
      </c>
      <c r="E7" s="3" t="n">
        <v>3900</v>
      </c>
      <c r="F7" s="3" t="n">
        <v>0</v>
      </c>
    </row>
    <row r="8">
      <c r="A8" s="9" t="inlineStr">
        <is>
          <t>tanker_freight</t>
        </is>
      </c>
      <c r="B8" s="9" t="inlineStr">
        <is>
          <t>Tanker Freight (BDTI)</t>
        </is>
      </c>
      <c r="C8" s="9" t="n">
        <v>0.15</v>
      </c>
      <c r="D8" s="3" t="n">
        <v>900</v>
      </c>
      <c r="E8" s="3" t="n">
        <v>75</v>
      </c>
      <c r="F8" s="3" t="n">
        <v>0</v>
      </c>
    </row>
    <row r="9">
      <c r="A9" s="9" t="inlineStr">
        <is>
          <t>ttf_gas</t>
        </is>
      </c>
      <c r="B9" s="9" t="inlineStr">
        <is>
          <t>TTF European Gas</t>
        </is>
      </c>
      <c r="C9" s="9" t="n">
        <v>0.1</v>
      </c>
      <c r="D9" s="3" t="n">
        <v>34.11</v>
      </c>
      <c r="E9" s="3" t="n">
        <v>95</v>
      </c>
      <c r="F9" s="3" t="n">
        <v>0</v>
      </c>
    </row>
    <row r="10">
      <c r="A10" s="9" t="inlineStr">
        <is>
          <t>vix</t>
        </is>
      </c>
      <c r="B10" s="9" t="inlineStr">
        <is>
          <t>VIX Volatility Index</t>
        </is>
      </c>
      <c r="C10" s="9" t="n">
        <v>0.1</v>
      </c>
      <c r="D10" s="3" t="n">
        <v>16.05</v>
      </c>
      <c r="E10" s="3" t="n">
        <v>200</v>
      </c>
      <c r="F10" s="3" t="n">
        <v>0</v>
      </c>
    </row>
    <row r="11">
      <c r="A11" s="9" t="inlineStr">
        <is>
          <t>reroutes</t>
        </is>
      </c>
      <c r="B11" s="9" t="inlineStr">
        <is>
          <t>Cape of Good Hope Reroutes</t>
        </is>
      </c>
      <c r="C11" s="9" t="n">
        <v>0.05</v>
      </c>
      <c r="D11" s="3" t="n">
        <v>8</v>
      </c>
      <c r="E11" s="3" t="n">
        <v>250</v>
      </c>
      <c r="F11" s="3" t="n">
        <v>0</v>
      </c>
    </row>
    <row r="13">
      <c r="A13" s="2" t="inlineStr">
        <is>
          <t>Weekly raw values, recomputed composite, and published composite for comparison</t>
        </is>
      </c>
    </row>
    <row r="14">
      <c r="A14" s="8" t="inlineStr">
        <is>
          <t>Week</t>
        </is>
      </c>
      <c r="B14" s="8" t="inlineStr">
        <is>
          <t>brent (raw)</t>
        </is>
      </c>
      <c r="C14" s="8" t="inlineStr">
        <is>
          <t>ship_traffic (raw)</t>
        </is>
      </c>
      <c r="D14" s="8" t="inlineStr">
        <is>
          <t>war_risk (raw)</t>
        </is>
      </c>
      <c r="E14" s="8" t="inlineStr">
        <is>
          <t>tanker_freight (raw)</t>
        </is>
      </c>
      <c r="F14" s="8" t="inlineStr">
        <is>
          <t>ttf_gas (raw)</t>
        </is>
      </c>
      <c r="G14" s="8" t="inlineStr">
        <is>
          <t>vix (raw)</t>
        </is>
      </c>
      <c r="H14" s="8" t="inlineStr">
        <is>
          <t>reroutes (raw)</t>
        </is>
      </c>
      <c r="I14" s="8" t="inlineStr">
        <is>
          <t>Recomputed score</t>
        </is>
      </c>
      <c r="J14" s="8" t="inlineStr">
        <is>
          <t>Published score</t>
        </is>
      </c>
      <c r="K14" s="8" t="inlineStr">
        <is>
          <t>Diff</t>
        </is>
      </c>
    </row>
    <row r="15">
      <c r="A15" s="9" t="inlineStr">
        <is>
          <t>2026-01-05</t>
        </is>
      </c>
      <c r="B15" s="3" t="n">
        <v>65</v>
      </c>
      <c r="C15" s="3" t="n">
        <v>616</v>
      </c>
      <c r="D15" s="3" t="n">
        <v>0.25</v>
      </c>
      <c r="E15" s="3" t="n">
        <v>900</v>
      </c>
      <c r="F15" s="3" t="n">
        <v>33</v>
      </c>
      <c r="G15" s="3" t="n">
        <v>14.5</v>
      </c>
      <c r="H15" s="3" t="n">
        <v>8</v>
      </c>
      <c r="I15" s="4">
        <f>100+$C$5*MAX(0,MIN(100,(1-2*$F$5)*IF($D$5=0,0,(B15-$D$5)/$D$5*100)/$E$5*100))+$C$6*MAX(0,MIN(100,(1-2*$F$6)*IF($D$6=0,0,(C15-$D$6)/$D$6*100)/$E$6*100))+$C$7*MAX(0,MIN(100,(1-2*$F$7)*IF($D$7=0,0,(D15-$D$7)/$D$7*100)/$E$7*100))+$C$8*MAX(0,MIN(100,(1-2*$F$8)*IF($D$8=0,0,(E15-$D$8)/$D$8*100)/$E$8*100))+$C$9*MAX(0,MIN(100,(1-2*$F$9)*IF($D$9=0,0,(F15-$D$9)/$D$9*100)/$E$9*100))+$C$10*MAX(0,MIN(100,(1-2*$F$10)*IF($D$10=0,0,(G15-$D$10)/$D$10*100)/$E$10*100))+$C$11*MAX(0,MIN(100,(1-2*$F$11)*IF($D$11=0,0,(H15-$D$11)/$D$11*100)/$E$11*100))</f>
        <v/>
      </c>
      <c r="J15" s="9" t="n">
        <v>100.2</v>
      </c>
      <c r="K15" s="9">
        <f>ROUND(I15-J15,1)</f>
        <v/>
      </c>
    </row>
    <row r="16">
      <c r="A16" s="9" t="inlineStr">
        <is>
          <t>2026-01-12</t>
        </is>
      </c>
      <c r="B16" s="3" t="n">
        <v>65.5</v>
      </c>
      <c r="C16" s="3" t="n">
        <v>616</v>
      </c>
      <c r="D16" s="3" t="n">
        <v>0.25</v>
      </c>
      <c r="E16" s="3" t="n">
        <v>905</v>
      </c>
      <c r="F16" s="3" t="n">
        <v>33.2</v>
      </c>
      <c r="G16" s="3" t="n">
        <v>14.6</v>
      </c>
      <c r="H16" s="3" t="n">
        <v>8</v>
      </c>
      <c r="I16" s="4">
        <f>100+$C$5*MAX(0,MIN(100,(1-2*$F$5)*IF($D$5=0,0,(B16-$D$5)/$D$5*100)/$E$5*100))+$C$6*MAX(0,MIN(100,(1-2*$F$6)*IF($D$6=0,0,(C16-$D$6)/$D$6*100)/$E$6*100))+$C$7*MAX(0,MIN(100,(1-2*$F$7)*IF($D$7=0,0,(D16-$D$7)/$D$7*100)/$E$7*100))+$C$8*MAX(0,MIN(100,(1-2*$F$8)*IF($D$8=0,0,(E16-$D$8)/$D$8*100)/$E$8*100))+$C$9*MAX(0,MIN(100,(1-2*$F$9)*IF($D$9=0,0,(F16-$D$9)/$D$9*100)/$E$9*100))+$C$10*MAX(0,MIN(100,(1-2*$F$10)*IF($D$10=0,0,(G16-$D$10)/$D$10*100)/$E$10*100))+$C$11*MAX(0,MIN(100,(1-2*$F$11)*IF($D$11=0,0,(H16-$D$11)/$D$11*100)/$E$11*100))</f>
        <v/>
      </c>
      <c r="J16" s="9" t="n">
        <v>100.7</v>
      </c>
      <c r="K16" s="9">
        <f>ROUND(I16-J16,1)</f>
        <v/>
      </c>
    </row>
    <row r="17">
      <c r="A17" s="9" t="inlineStr">
        <is>
          <t>2026-01-19</t>
        </is>
      </c>
      <c r="B17" s="3" t="n">
        <v>66.8</v>
      </c>
      <c r="C17" s="3" t="n">
        <v>616</v>
      </c>
      <c r="D17" s="3" t="n">
        <v>0.25</v>
      </c>
      <c r="E17" s="3" t="n">
        <v>915</v>
      </c>
      <c r="F17" s="3" t="n">
        <v>33.8</v>
      </c>
      <c r="G17" s="3" t="n">
        <v>14.9</v>
      </c>
      <c r="H17" s="3" t="n">
        <v>8</v>
      </c>
      <c r="I17" s="4">
        <f>100+$C$5*MAX(0,MIN(100,(1-2*$F$5)*IF($D$5=0,0,(B17-$D$5)/$D$5*100)/$E$5*100))+$C$6*MAX(0,MIN(100,(1-2*$F$6)*IF($D$6=0,0,(C17-$D$6)/$D$6*100)/$E$6*100))+$C$7*MAX(0,MIN(100,(1-2*$F$7)*IF($D$7=0,0,(D17-$D$7)/$D$7*100)/$E$7*100))+$C$8*MAX(0,MIN(100,(1-2*$F$8)*IF($D$8=0,0,(E17-$D$8)/$D$8*100)/$E$8*100))+$C$9*MAX(0,MIN(100,(1-2*$F$9)*IF($D$9=0,0,(F17-$D$9)/$D$9*100)/$E$9*100))+$C$10*MAX(0,MIN(100,(1-2*$F$10)*IF($D$10=0,0,(G17-$D$10)/$D$10*100)/$E$10*100))+$C$11*MAX(0,MIN(100,(1-2*$F$11)*IF($D$11=0,0,(H17-$D$11)/$D$11*100)/$E$11*100))</f>
        <v/>
      </c>
      <c r="J17" s="9" t="n">
        <v>102</v>
      </c>
      <c r="K17" s="9">
        <f>ROUND(I17-J17,1)</f>
        <v/>
      </c>
    </row>
    <row r="18">
      <c r="A18" s="9" t="inlineStr">
        <is>
          <t>2026-01-26</t>
        </is>
      </c>
      <c r="B18" s="3" t="n">
        <v>68.2</v>
      </c>
      <c r="C18" s="3" t="n">
        <v>519</v>
      </c>
      <c r="D18" s="3" t="n">
        <v>0.3</v>
      </c>
      <c r="E18" s="3" t="n">
        <v>930</v>
      </c>
      <c r="F18" s="3" t="n">
        <v>34.5</v>
      </c>
      <c r="G18" s="3" t="n">
        <v>15.2</v>
      </c>
      <c r="H18" s="3" t="n">
        <v>8.5</v>
      </c>
      <c r="I18" s="4">
        <f>100+$C$5*MAX(0,MIN(100,(1-2*$F$5)*IF($D$5=0,0,(B18-$D$5)/$D$5*100)/$E$5*100))+$C$6*MAX(0,MIN(100,(1-2*$F$6)*IF($D$6=0,0,(C18-$D$6)/$D$6*100)/$E$6*100))+$C$7*MAX(0,MIN(100,(1-2*$F$7)*IF($D$7=0,0,(D18-$D$7)/$D$7*100)/$E$7*100))+$C$8*MAX(0,MIN(100,(1-2*$F$8)*IF($D$8=0,0,(E18-$D$8)/$D$8*100)/$E$8*100))+$C$9*MAX(0,MIN(100,(1-2*$F$9)*IF($D$9=0,0,(F18-$D$9)/$D$9*100)/$E$9*100))+$C$10*MAX(0,MIN(100,(1-2*$F$10)*IF($D$10=0,0,(G18-$D$10)/$D$10*100)/$E$10*100))+$C$11*MAX(0,MIN(100,(1-2*$F$11)*IF($D$11=0,0,(H18-$D$11)/$D$11*100)/$E$11*100))</f>
        <v/>
      </c>
      <c r="J18" s="9" t="n">
        <v>106.5</v>
      </c>
      <c r="K18" s="9">
        <f>ROUND(I18-J18,1)</f>
        <v/>
      </c>
    </row>
    <row r="19">
      <c r="A19" s="9" t="inlineStr">
        <is>
          <t>2026-02-02</t>
        </is>
      </c>
      <c r="B19" s="3" t="n">
        <v>65</v>
      </c>
      <c r="C19" s="3" t="n">
        <v>616</v>
      </c>
      <c r="D19" s="3" t="n">
        <v>0.25</v>
      </c>
      <c r="E19" s="3" t="n">
        <v>900</v>
      </c>
      <c r="F19" s="3" t="n">
        <v>33</v>
      </c>
      <c r="G19" s="3" t="n">
        <v>14.5</v>
      </c>
      <c r="H19" s="3" t="n">
        <v>8</v>
      </c>
      <c r="I19" s="4">
        <f>100+$C$5*MAX(0,MIN(100,(1-2*$F$5)*IF($D$5=0,0,(B19-$D$5)/$D$5*100)/$E$5*100))+$C$6*MAX(0,MIN(100,(1-2*$F$6)*IF($D$6=0,0,(C19-$D$6)/$D$6*100)/$E$6*100))+$C$7*MAX(0,MIN(100,(1-2*$F$7)*IF($D$7=0,0,(D19-$D$7)/$D$7*100)/$E$7*100))+$C$8*MAX(0,MIN(100,(1-2*$F$8)*IF($D$8=0,0,(E19-$D$8)/$D$8*100)/$E$8*100))+$C$9*MAX(0,MIN(100,(1-2*$F$9)*IF($D$9=0,0,(F19-$D$9)/$D$9*100)/$E$9*100))+$C$10*MAX(0,MIN(100,(1-2*$F$10)*IF($D$10=0,0,(G19-$D$10)/$D$10*100)/$E$10*100))+$C$11*MAX(0,MIN(100,(1-2*$F$11)*IF($D$11=0,0,(H19-$D$11)/$D$11*100)/$E$11*100))</f>
        <v/>
      </c>
      <c r="J19" s="9" t="n">
        <v>100.2</v>
      </c>
      <c r="K19" s="9">
        <f>ROUND(I19-J19,1)</f>
        <v/>
      </c>
    </row>
    <row r="20">
      <c r="A20" s="9" t="inlineStr">
        <is>
          <t>2026-02-09</t>
        </is>
      </c>
      <c r="B20" s="3" t="n">
        <v>69.5</v>
      </c>
      <c r="C20" s="3" t="n">
        <v>616</v>
      </c>
      <c r="D20" s="3" t="n">
        <v>0.36</v>
      </c>
      <c r="E20" s="3" t="n">
        <v>950</v>
      </c>
      <c r="F20" s="3" t="n">
        <v>35</v>
      </c>
      <c r="G20" s="3" t="n">
        <v>15.8</v>
      </c>
      <c r="H20" s="3" t="n">
        <v>9</v>
      </c>
      <c r="I20" s="4">
        <f>100+$C$5*MAX(0,MIN(100,(1-2*$F$5)*IF($D$5=0,0,(B20-$D$5)/$D$5*100)/$E$5*100))+$C$6*MAX(0,MIN(100,(1-2*$F$6)*IF($D$6=0,0,(C20-$D$6)/$D$6*100)/$E$6*100))+$C$7*MAX(0,MIN(100,(1-2*$F$7)*IF($D$7=0,0,(D20-$D$7)/$D$7*100)/$E$7*100))+$C$8*MAX(0,MIN(100,(1-2*$F$8)*IF($D$8=0,0,(E20-$D$8)/$D$8*100)/$E$8*100))+$C$9*MAX(0,MIN(100,(1-2*$F$9)*IF($D$9=0,0,(F20-$D$9)/$D$9*100)/$E$9*100))+$C$10*MAX(0,MIN(100,(1-2*$F$10)*IF($D$10=0,0,(G20-$D$10)/$D$10*100)/$E$10*100))+$C$11*MAX(0,MIN(100,(1-2*$F$11)*IF($D$11=0,0,(H20-$D$11)/$D$11*100)/$E$11*100))</f>
        <v/>
      </c>
      <c r="J20" s="9" t="n">
        <v>105.8</v>
      </c>
      <c r="K20" s="9">
        <f>ROUND(I20-J20,1)</f>
        <v/>
      </c>
    </row>
    <row r="21">
      <c r="A21" s="9" t="inlineStr">
        <is>
          <t>2026-02-16</t>
        </is>
      </c>
      <c r="B21" s="3" t="n">
        <v>73</v>
      </c>
      <c r="C21" s="3" t="n">
        <v>435</v>
      </c>
      <c r="D21" s="3" t="n">
        <v>0.65</v>
      </c>
      <c r="E21" s="3" t="n">
        <v>1010</v>
      </c>
      <c r="F21" s="3" t="n">
        <v>37.2</v>
      </c>
      <c r="G21" s="3" t="n">
        <v>17.5</v>
      </c>
      <c r="H21" s="3" t="n">
        <v>11</v>
      </c>
      <c r="I21" s="4">
        <f>100+$C$5*MAX(0,MIN(100,(1-2*$F$5)*IF($D$5=0,0,(B21-$D$5)/$D$5*100)/$E$5*100))+$C$6*MAX(0,MIN(100,(1-2*$F$6)*IF($D$6=0,0,(C21-$D$6)/$D$6*100)/$E$6*100))+$C$7*MAX(0,MIN(100,(1-2*$F$7)*IF($D$7=0,0,(D21-$D$7)/$D$7*100)/$E$7*100))+$C$8*MAX(0,MIN(100,(1-2*$F$8)*IF($D$8=0,0,(E21-$D$8)/$D$8*100)/$E$8*100))+$C$9*MAX(0,MIN(100,(1-2*$F$9)*IF($D$9=0,0,(F21-$D$9)/$D$9*100)/$E$9*100))+$C$10*MAX(0,MIN(100,(1-2*$F$10)*IF($D$10=0,0,(G21-$D$10)/$D$10*100)/$E$10*100))+$C$11*MAX(0,MIN(100,(1-2*$F$11)*IF($D$11=0,0,(H21-$D$11)/$D$11*100)/$E$11*100))</f>
        <v/>
      </c>
      <c r="J21" s="9" t="n">
        <v>117</v>
      </c>
      <c r="K21" s="9">
        <f>ROUND(I21-J21,1)</f>
        <v/>
      </c>
    </row>
    <row r="22">
      <c r="A22" s="9" t="inlineStr">
        <is>
          <t>2026-02-23</t>
        </is>
      </c>
      <c r="B22" s="3" t="n">
        <v>78.5</v>
      </c>
      <c r="C22" s="3" t="n">
        <v>247</v>
      </c>
      <c r="D22" s="3" t="n">
        <v>1.59</v>
      </c>
      <c r="E22" s="3" t="n">
        <v>1140</v>
      </c>
      <c r="F22" s="3" t="n">
        <v>39.8</v>
      </c>
      <c r="G22" s="3" t="n">
        <v>20.1</v>
      </c>
      <c r="H22" s="3" t="n">
        <v>14</v>
      </c>
      <c r="I22" s="4">
        <f>100+$C$5*MAX(0,MIN(100,(1-2*$F$5)*IF($D$5=0,0,(B22-$D$5)/$D$5*100)/$E$5*100))+$C$6*MAX(0,MIN(100,(1-2*$F$6)*IF($D$6=0,0,(C22-$D$6)/$D$6*100)/$E$6*100))+$C$7*MAX(0,MIN(100,(1-2*$F$7)*IF($D$7=0,0,(D22-$D$7)/$D$7*100)/$E$7*100))+$C$8*MAX(0,MIN(100,(1-2*$F$8)*IF($D$8=0,0,(E22-$D$8)/$D$8*100)/$E$8*100))+$C$9*MAX(0,MIN(100,(1-2*$F$9)*IF($D$9=0,0,(F22-$D$9)/$D$9*100)/$E$9*100))+$C$10*MAX(0,MIN(100,(1-2*$F$10)*IF($D$10=0,0,(G22-$D$10)/$D$10*100)/$E$10*100))+$C$11*MAX(0,MIN(100,(1-2*$F$11)*IF($D$11=0,0,(H22-$D$11)/$D$11*100)/$E$11*100))</f>
        <v/>
      </c>
      <c r="J22" s="9" t="n">
        <v>133.5</v>
      </c>
      <c r="K22" s="9">
        <f>ROUND(I22-J22,1)</f>
        <v/>
      </c>
    </row>
    <row r="23">
      <c r="A23" s="9" t="inlineStr">
        <is>
          <t>2026-03-02</t>
        </is>
      </c>
      <c r="B23" s="3" t="n">
        <v>82</v>
      </c>
      <c r="C23" s="3" t="n">
        <v>163</v>
      </c>
      <c r="D23" s="3" t="n">
        <v>3.15</v>
      </c>
      <c r="E23" s="3" t="n">
        <v>1260</v>
      </c>
      <c r="F23" s="3" t="n">
        <v>42.5</v>
      </c>
      <c r="G23" s="3" t="n">
        <v>22.8</v>
      </c>
      <c r="H23" s="3" t="n">
        <v>18</v>
      </c>
      <c r="I23" s="4">
        <f>100+$C$5*MAX(0,MIN(100,(1-2*$F$5)*IF($D$5=0,0,(B23-$D$5)/$D$5*100)/$E$5*100))+$C$6*MAX(0,MIN(100,(1-2*$F$6)*IF($D$6=0,0,(C23-$D$6)/$D$6*100)/$E$6*100))+$C$7*MAX(0,MIN(100,(1-2*$F$7)*IF($D$7=0,0,(D23-$D$7)/$D$7*100)/$E$7*100))+$C$8*MAX(0,MIN(100,(1-2*$F$8)*IF($D$8=0,0,(E23-$D$8)/$D$8*100)/$E$8*100))+$C$9*MAX(0,MIN(100,(1-2*$F$9)*IF($D$9=0,0,(F23-$D$9)/$D$9*100)/$E$9*100))+$C$10*MAX(0,MIN(100,(1-2*$F$10)*IF($D$10=0,0,(G23-$D$10)/$D$10*100)/$E$10*100))+$C$11*MAX(0,MIN(100,(1-2*$F$11)*IF($D$11=0,0,(H23-$D$11)/$D$11*100)/$E$11*100))</f>
        <v/>
      </c>
      <c r="J23" s="9" t="n">
        <v>146.4</v>
      </c>
      <c r="K23" s="9">
        <f>ROUND(I23-J23,1)</f>
        <v/>
      </c>
    </row>
    <row r="24">
      <c r="A24" s="9" t="inlineStr">
        <is>
          <t>2026-03-09</t>
        </is>
      </c>
      <c r="B24" s="3" t="n">
        <v>85.5</v>
      </c>
      <c r="C24" s="3" t="n">
        <v>132</v>
      </c>
      <c r="D24" s="3" t="n">
        <v>4.12</v>
      </c>
      <c r="E24" s="3" t="n">
        <v>1320</v>
      </c>
      <c r="F24" s="3" t="n">
        <v>44.2</v>
      </c>
      <c r="G24" s="3" t="n">
        <v>24.5</v>
      </c>
      <c r="H24" s="3" t="n">
        <v>21</v>
      </c>
      <c r="I24" s="4">
        <f>100+$C$5*MAX(0,MIN(100,(1-2*$F$5)*IF($D$5=0,0,(B24-$D$5)/$D$5*100)/$E$5*100))+$C$6*MAX(0,MIN(100,(1-2*$F$6)*IF($D$6=0,0,(C24-$D$6)/$D$6*100)/$E$6*100))+$C$7*MAX(0,MIN(100,(1-2*$F$7)*IF($D$7=0,0,(D24-$D$7)/$D$7*100)/$E$7*100))+$C$8*MAX(0,MIN(100,(1-2*$F$8)*IF($D$8=0,0,(E24-$D$8)/$D$8*100)/$E$8*100))+$C$9*MAX(0,MIN(100,(1-2*$F$9)*IF($D$9=0,0,(F24-$D$9)/$D$9*100)/$E$9*100))+$C$10*MAX(0,MIN(100,(1-2*$F$10)*IF($D$10=0,0,(G24-$D$10)/$D$10*100)/$E$10*100))+$C$11*MAX(0,MIN(100,(1-2*$F$11)*IF($D$11=0,0,(H24-$D$11)/$D$11*100)/$E$11*100))</f>
        <v/>
      </c>
      <c r="J24" s="9" t="n">
        <v>154.8</v>
      </c>
      <c r="K24" s="9">
        <f>ROUND(I24-J24,1)</f>
        <v/>
      </c>
    </row>
    <row r="25">
      <c r="A25" s="9" t="inlineStr">
        <is>
          <t>2026-03-16</t>
        </is>
      </c>
      <c r="B25" s="3" t="n">
        <v>79.5</v>
      </c>
      <c r="C25" s="3" t="n">
        <v>202</v>
      </c>
      <c r="D25" s="3" t="n">
        <v>2.3</v>
      </c>
      <c r="E25" s="3" t="n">
        <v>1210</v>
      </c>
      <c r="F25" s="3" t="n">
        <v>41</v>
      </c>
      <c r="G25" s="3" t="n">
        <v>21.2</v>
      </c>
      <c r="H25" s="3" t="n">
        <v>18.5</v>
      </c>
      <c r="I25" s="4">
        <f>100+$C$5*MAX(0,MIN(100,(1-2*$F$5)*IF($D$5=0,0,(B25-$D$5)/$D$5*100)/$E$5*100))+$C$6*MAX(0,MIN(100,(1-2*$F$6)*IF($D$6=0,0,(C25-$D$6)/$D$6*100)/$E$6*100))+$C$7*MAX(0,MIN(100,(1-2*$F$7)*IF($D$7=0,0,(D25-$D$7)/$D$7*100)/$E$7*100))+$C$8*MAX(0,MIN(100,(1-2*$F$8)*IF($D$8=0,0,(E25-$D$8)/$D$8*100)/$E$8*100))+$C$9*MAX(0,MIN(100,(1-2*$F$9)*IF($D$9=0,0,(F25-$D$9)/$D$9*100)/$E$9*100))+$C$10*MAX(0,MIN(100,(1-2*$F$10)*IF($D$10=0,0,(G25-$D$10)/$D$10*100)/$E$10*100))+$C$11*MAX(0,MIN(100,(1-2*$F$11)*IF($D$11=0,0,(H25-$D$11)/$D$11*100)/$E$11*100))</f>
        <v/>
      </c>
      <c r="J25" s="9" t="n">
        <v>140</v>
      </c>
      <c r="K25" s="9">
        <f>ROUND(I25-J25,1)</f>
        <v/>
      </c>
    </row>
    <row r="26">
      <c r="A26" s="9" t="inlineStr">
        <is>
          <t>2026-03-23</t>
        </is>
      </c>
      <c r="B26" s="3" t="n">
        <v>83.5</v>
      </c>
      <c r="C26" s="3" t="n">
        <v>163</v>
      </c>
      <c r="D26" s="3" t="n">
        <v>3.72</v>
      </c>
      <c r="E26" s="3" t="n">
        <v>1290</v>
      </c>
      <c r="F26" s="3" t="n">
        <v>43.5</v>
      </c>
      <c r="G26" s="3" t="n">
        <v>23.8</v>
      </c>
      <c r="H26" s="3" t="n">
        <v>22</v>
      </c>
      <c r="I26" s="4">
        <f>100+$C$5*MAX(0,MIN(100,(1-2*$F$5)*IF($D$5=0,0,(B26-$D$5)/$D$5*100)/$E$5*100))+$C$6*MAX(0,MIN(100,(1-2*$F$6)*IF($D$6=0,0,(C26-$D$6)/$D$6*100)/$E$6*100))+$C$7*MAX(0,MIN(100,(1-2*$F$7)*IF($D$7=0,0,(D26-$D$7)/$D$7*100)/$E$7*100))+$C$8*MAX(0,MIN(100,(1-2*$F$8)*IF($D$8=0,0,(E26-$D$8)/$D$8*100)/$E$8*100))+$C$9*MAX(0,MIN(100,(1-2*$F$9)*IF($D$9=0,0,(F26-$D$9)/$D$9*100)/$E$9*100))+$C$10*MAX(0,MIN(100,(1-2*$F$10)*IF($D$10=0,0,(G26-$D$10)/$D$10*100)/$E$10*100))+$C$11*MAX(0,MIN(100,(1-2*$F$11)*IF($D$11=0,0,(H26-$D$11)/$D$11*100)/$E$11*100))</f>
        <v/>
      </c>
      <c r="J26" s="9" t="n">
        <v>150.8</v>
      </c>
      <c r="K26" s="9">
        <f>ROUND(I26-J26,1)</f>
        <v/>
      </c>
    </row>
    <row r="27">
      <c r="A27" s="9" t="inlineStr">
        <is>
          <t>2026-03-30</t>
        </is>
      </c>
      <c r="B27" s="3" t="n">
        <v>89</v>
      </c>
      <c r="C27" s="3" t="n">
        <v>83</v>
      </c>
      <c r="D27" s="3" t="n">
        <v>6.47</v>
      </c>
      <c r="E27" s="3" t="n">
        <v>1430</v>
      </c>
      <c r="F27" s="3" t="n">
        <v>48</v>
      </c>
      <c r="G27" s="3" t="n">
        <v>26.5</v>
      </c>
      <c r="H27" s="3" t="n">
        <v>26</v>
      </c>
      <c r="I27" s="4">
        <f>100+$C$5*MAX(0,MIN(100,(1-2*$F$5)*IF($D$5=0,0,(B27-$D$5)/$D$5*100)/$E$5*100))+$C$6*MAX(0,MIN(100,(1-2*$F$6)*IF($D$6=0,0,(C27-$D$6)/$D$6*100)/$E$6*100))+$C$7*MAX(0,MIN(100,(1-2*$F$7)*IF($D$7=0,0,(D27-$D$7)/$D$7*100)/$E$7*100))+$C$8*MAX(0,MIN(100,(1-2*$F$8)*IF($D$8=0,0,(E27-$D$8)/$D$8*100)/$E$8*100))+$C$9*MAX(0,MIN(100,(1-2*$F$9)*IF($D$9=0,0,(F27-$D$9)/$D$9*100)/$E$9*100))+$C$10*MAX(0,MIN(100,(1-2*$F$10)*IF($D$10=0,0,(G27-$D$10)/$D$10*100)/$E$10*100))+$C$11*MAX(0,MIN(100,(1-2*$F$11)*IF($D$11=0,0,(H27-$D$11)/$D$11*100)/$E$11*100))</f>
        <v/>
      </c>
      <c r="J27" s="9" t="n">
        <v>168.2</v>
      </c>
      <c r="K27" s="9">
        <f>ROUND(I27-J27,1)</f>
        <v/>
      </c>
    </row>
    <row r="28">
      <c r="A28" s="9" t="inlineStr">
        <is>
          <t>2026-04-06</t>
        </is>
      </c>
      <c r="B28" s="3" t="n">
        <v>85</v>
      </c>
      <c r="C28" s="3" t="n">
        <v>105</v>
      </c>
      <c r="D28" s="3" t="n">
        <v>4.55</v>
      </c>
      <c r="E28" s="3" t="n">
        <v>1350</v>
      </c>
      <c r="F28" s="3" t="n">
        <v>44.8</v>
      </c>
      <c r="G28" s="3" t="n">
        <v>24.2</v>
      </c>
      <c r="H28" s="3" t="n">
        <v>23.5</v>
      </c>
      <c r="I28" s="4">
        <f>100+$C$5*MAX(0,MIN(100,(1-2*$F$5)*IF($D$5=0,0,(B28-$D$5)/$D$5*100)/$E$5*100))+$C$6*MAX(0,MIN(100,(1-2*$F$6)*IF($D$6=0,0,(C28-$D$6)/$D$6*100)/$E$6*100))+$C$7*MAX(0,MIN(100,(1-2*$F$7)*IF($D$7=0,0,(D28-$D$7)/$D$7*100)/$E$7*100))+$C$8*MAX(0,MIN(100,(1-2*$F$8)*IF($D$8=0,0,(E28-$D$8)/$D$8*100)/$E$8*100))+$C$9*MAX(0,MIN(100,(1-2*$F$9)*IF($D$9=0,0,(F28-$D$9)/$D$9*100)/$E$9*100))+$C$10*MAX(0,MIN(100,(1-2*$F$10)*IF($D$10=0,0,(G28-$D$10)/$D$10*100)/$E$10*100))+$C$11*MAX(0,MIN(100,(1-2*$F$11)*IF($D$11=0,0,(H28-$D$11)/$D$11*100)/$E$11*100))</f>
        <v/>
      </c>
      <c r="J28" s="9" t="n">
        <v>157.2</v>
      </c>
      <c r="K28" s="9">
        <f>ROUND(I28-J28,1)</f>
        <v/>
      </c>
    </row>
    <row r="29">
      <c r="A29" s="9" t="inlineStr">
        <is>
          <t>2026-04-13</t>
        </is>
      </c>
      <c r="B29" s="3" t="n">
        <v>86.2</v>
      </c>
      <c r="C29" s="3" t="n">
        <v>105</v>
      </c>
      <c r="D29" s="3" t="n">
        <v>4.77</v>
      </c>
      <c r="E29" s="3" t="n">
        <v>1370</v>
      </c>
      <c r="F29" s="3" t="n">
        <v>45.5</v>
      </c>
      <c r="G29" s="3" t="n">
        <v>24.6</v>
      </c>
      <c r="H29" s="3" t="n">
        <v>24</v>
      </c>
      <c r="I29" s="4">
        <f>100+$C$5*MAX(0,MIN(100,(1-2*$F$5)*IF($D$5=0,0,(B29-$D$5)/$D$5*100)/$E$5*100))+$C$6*MAX(0,MIN(100,(1-2*$F$6)*IF($D$6=0,0,(C29-$D$6)/$D$6*100)/$E$6*100))+$C$7*MAX(0,MIN(100,(1-2*$F$7)*IF($D$7=0,0,(D29-$D$7)/$D$7*100)/$E$7*100))+$C$8*MAX(0,MIN(100,(1-2*$F$8)*IF($D$8=0,0,(E29-$D$8)/$D$8*100)/$E$8*100))+$C$9*MAX(0,MIN(100,(1-2*$F$9)*IF($D$9=0,0,(F29-$D$9)/$D$9*100)/$E$9*100))+$C$10*MAX(0,MIN(100,(1-2*$F$10)*IF($D$10=0,0,(G29-$D$10)/$D$10*100)/$E$10*100))+$C$11*MAX(0,MIN(100,(1-2*$F$11)*IF($D$11=0,0,(H29-$D$11)/$D$11*100)/$E$11*100))</f>
        <v/>
      </c>
      <c r="J29" s="9" t="n">
        <v>159.4</v>
      </c>
      <c r="K29" s="9">
        <f>ROUND(I29-J29,1)</f>
        <v/>
      </c>
    </row>
    <row r="30">
      <c r="A30" s="9" t="inlineStr">
        <is>
          <t>2026-04-20</t>
        </is>
      </c>
      <c r="B30" s="3" t="n">
        <v>88</v>
      </c>
      <c r="C30" s="3" t="n">
        <v>83</v>
      </c>
      <c r="D30" s="3" t="n">
        <v>5.47</v>
      </c>
      <c r="E30" s="3" t="n">
        <v>1400</v>
      </c>
      <c r="F30" s="3" t="n">
        <v>46.8</v>
      </c>
      <c r="G30" s="3" t="n">
        <v>25.4</v>
      </c>
      <c r="H30" s="3" t="n">
        <v>25</v>
      </c>
      <c r="I30" s="4">
        <f>100+$C$5*MAX(0,MIN(100,(1-2*$F$5)*IF($D$5=0,0,(B30-$D$5)/$D$5*100)/$E$5*100))+$C$6*MAX(0,MIN(100,(1-2*$F$6)*IF($D$6=0,0,(C30-$D$6)/$D$6*100)/$E$6*100))+$C$7*MAX(0,MIN(100,(1-2*$F$7)*IF($D$7=0,0,(D30-$D$7)/$D$7*100)/$E$7*100))+$C$8*MAX(0,MIN(100,(1-2*$F$8)*IF($D$8=0,0,(E30-$D$8)/$D$8*100)/$E$8*100))+$C$9*MAX(0,MIN(100,(1-2*$F$9)*IF($D$9=0,0,(F30-$D$9)/$D$9*100)/$E$9*100))+$C$10*MAX(0,MIN(100,(1-2*$F$10)*IF($D$10=0,0,(G30-$D$10)/$D$10*100)/$E$10*100))+$C$11*MAX(0,MIN(100,(1-2*$F$11)*IF($D$11=0,0,(H30-$D$11)/$D$11*100)/$E$11*100))</f>
        <v/>
      </c>
      <c r="J30" s="9" t="n">
        <v>164.2</v>
      </c>
      <c r="K30" s="9">
        <f>ROUND(I30-J30,1)</f>
        <v/>
      </c>
    </row>
    <row r="31">
      <c r="A31" s="9" t="inlineStr">
        <is>
          <t>2026-04-27</t>
        </is>
      </c>
      <c r="B31" s="3" t="n">
        <v>90.5</v>
      </c>
      <c r="C31" s="3" t="n">
        <v>65</v>
      </c>
      <c r="D31" s="3" t="n">
        <v>5.96</v>
      </c>
      <c r="E31" s="3" t="n">
        <v>1440</v>
      </c>
      <c r="F31" s="3" t="n">
        <v>48.2</v>
      </c>
      <c r="G31" s="3" t="n">
        <v>26.1</v>
      </c>
      <c r="H31" s="3" t="n">
        <v>26.5</v>
      </c>
      <c r="I31" s="4">
        <f>100+$C$5*MAX(0,MIN(100,(1-2*$F$5)*IF($D$5=0,0,(B31-$D$5)/$D$5*100)/$E$5*100))+$C$6*MAX(0,MIN(100,(1-2*$F$6)*IF($D$6=0,0,(C31-$D$6)/$D$6*100)/$E$6*100))+$C$7*MAX(0,MIN(100,(1-2*$F$7)*IF($D$7=0,0,(D31-$D$7)/$D$7*100)/$E$7*100))+$C$8*MAX(0,MIN(100,(1-2*$F$8)*IF($D$8=0,0,(E31-$D$8)/$D$8*100)/$E$8*100))+$C$9*MAX(0,MIN(100,(1-2*$F$9)*IF($D$9=0,0,(F31-$D$9)/$D$9*100)/$E$9*100))+$C$10*MAX(0,MIN(100,(1-2*$F$10)*IF($D$10=0,0,(G31-$D$10)/$D$10*100)/$E$10*100))+$C$11*MAX(0,MIN(100,(1-2*$F$11)*IF($D$11=0,0,(H31-$D$11)/$D$11*100)/$E$11*100))</f>
        <v/>
      </c>
      <c r="J31" s="9" t="n">
        <v>169.5</v>
      </c>
      <c r="K31" s="9">
        <f>ROUND(I31-J31,1)</f>
        <v/>
      </c>
    </row>
    <row r="32">
      <c r="A32" s="9" t="inlineStr">
        <is>
          <t>2026-05-04</t>
        </is>
      </c>
      <c r="B32" s="3" t="n">
        <v>92.8</v>
      </c>
      <c r="C32" s="3" t="n">
        <v>50</v>
      </c>
      <c r="D32" s="3" t="n">
        <v>7.01</v>
      </c>
      <c r="E32" s="3" t="n">
        <v>1490</v>
      </c>
      <c r="F32" s="3" t="n">
        <v>50.1</v>
      </c>
      <c r="G32" s="3" t="n">
        <v>27.5</v>
      </c>
      <c r="H32" s="3" t="n">
        <v>28</v>
      </c>
      <c r="I32" s="4">
        <f>100+$C$5*MAX(0,MIN(100,(1-2*$F$5)*IF($D$5=0,0,(B32-$D$5)/$D$5*100)/$E$5*100))+$C$6*MAX(0,MIN(100,(1-2*$F$6)*IF($D$6=0,0,(C32-$D$6)/$D$6*100)/$E$6*100))+$C$7*MAX(0,MIN(100,(1-2*$F$7)*IF($D$7=0,0,(D32-$D$7)/$D$7*100)/$E$7*100))+$C$8*MAX(0,MIN(100,(1-2*$F$8)*IF($D$8=0,0,(E32-$D$8)/$D$8*100)/$E$8*100))+$C$9*MAX(0,MIN(100,(1-2*$F$9)*IF($D$9=0,0,(F32-$D$9)/$D$9*100)/$E$9*100))+$C$10*MAX(0,MIN(100,(1-2*$F$10)*IF($D$10=0,0,(G32-$D$10)/$D$10*100)/$E$10*100))+$C$11*MAX(0,MIN(100,(1-2*$F$11)*IF($D$11=0,0,(H32-$D$11)/$D$11*100)/$E$11*100))</f>
        <v/>
      </c>
      <c r="J32" s="9" t="n">
        <v>175.6</v>
      </c>
      <c r="K32" s="9">
        <f>ROUND(I32-J32,1)</f>
        <v/>
      </c>
    </row>
    <row r="33">
      <c r="A33" s="9" t="inlineStr">
        <is>
          <t>2026-05-11</t>
        </is>
      </c>
      <c r="B33" s="3" t="n">
        <v>94</v>
      </c>
      <c r="C33" s="3" t="n">
        <v>50</v>
      </c>
      <c r="D33" s="3" t="n">
        <v>7.85</v>
      </c>
      <c r="E33" s="3" t="n">
        <v>1520</v>
      </c>
      <c r="F33" s="3" t="n">
        <v>52</v>
      </c>
      <c r="G33" s="3" t="n">
        <v>28.2</v>
      </c>
      <c r="H33" s="3" t="n">
        <v>29</v>
      </c>
      <c r="I33" s="4">
        <f>100+$C$5*MAX(0,MIN(100,(1-2*$F$5)*IF($D$5=0,0,(B33-$D$5)/$D$5*100)/$E$5*100))+$C$6*MAX(0,MIN(100,(1-2*$F$6)*IF($D$6=0,0,(C33-$D$6)/$D$6*100)/$E$6*100))+$C$7*MAX(0,MIN(100,(1-2*$F$7)*IF($D$7=0,0,(D33-$D$7)/$D$7*100)/$E$7*100))+$C$8*MAX(0,MIN(100,(1-2*$F$8)*IF($D$8=0,0,(E33-$D$8)/$D$8*100)/$E$8*100))+$C$9*MAX(0,MIN(100,(1-2*$F$9)*IF($D$9=0,0,(F33-$D$9)/$D$9*100)/$E$9*100))+$C$10*MAX(0,MIN(100,(1-2*$F$10)*IF($D$10=0,0,(G33-$D$10)/$D$10*100)/$E$10*100))+$C$11*MAX(0,MIN(100,(1-2*$F$11)*IF($D$11=0,0,(H33-$D$11)/$D$11*100)/$E$11*100))</f>
        <v/>
      </c>
      <c r="J33" s="9" t="n">
        <v>179.4</v>
      </c>
      <c r="K33" s="9">
        <f>ROUND(I33-J33,1)</f>
        <v/>
      </c>
    </row>
    <row r="34">
      <c r="A34" s="9" t="inlineStr">
        <is>
          <t>2026-05-18</t>
        </is>
      </c>
      <c r="B34" s="3" t="n">
        <v>91.5</v>
      </c>
      <c r="C34" s="3" t="n">
        <v>65</v>
      </c>
      <c r="D34" s="3" t="n">
        <v>6.21</v>
      </c>
      <c r="E34" s="3" t="n">
        <v>1450</v>
      </c>
      <c r="F34" s="3" t="n">
        <v>49.2</v>
      </c>
      <c r="G34" s="3" t="n">
        <v>26</v>
      </c>
      <c r="H34" s="3" t="n">
        <v>27.5</v>
      </c>
      <c r="I34" s="4">
        <f>100+$C$5*MAX(0,MIN(100,(1-2*$F$5)*IF($D$5=0,0,(B34-$D$5)/$D$5*100)/$E$5*100))+$C$6*MAX(0,MIN(100,(1-2*$F$6)*IF($D$6=0,0,(C34-$D$6)/$D$6*100)/$E$6*100))+$C$7*MAX(0,MIN(100,(1-2*$F$7)*IF($D$7=0,0,(D34-$D$7)/$D$7*100)/$E$7*100))+$C$8*MAX(0,MIN(100,(1-2*$F$8)*IF($D$8=0,0,(E34-$D$8)/$D$8*100)/$E$8*100))+$C$9*MAX(0,MIN(100,(1-2*$F$9)*IF($D$9=0,0,(F34-$D$9)/$D$9*100)/$E$9*100))+$C$10*MAX(0,MIN(100,(1-2*$F$10)*IF($D$10=0,0,(G34-$D$10)/$D$10*100)/$E$10*100))+$C$11*MAX(0,MIN(100,(1-2*$F$11)*IF($D$11=0,0,(H34-$D$11)/$D$11*100)/$E$11*100))</f>
        <v/>
      </c>
      <c r="J34" s="9" t="n">
        <v>171.4</v>
      </c>
      <c r="K34" s="9">
        <f>ROUND(I34-J34,1)</f>
        <v/>
      </c>
    </row>
    <row r="35">
      <c r="A35" s="9" t="inlineStr">
        <is>
          <t>2026-05-25</t>
        </is>
      </c>
      <c r="B35" s="3" t="n">
        <v>93.2</v>
      </c>
      <c r="C35" s="3" t="n">
        <v>50</v>
      </c>
      <c r="D35" s="3" t="n">
        <v>7.28</v>
      </c>
      <c r="E35" s="3" t="n">
        <v>1500</v>
      </c>
      <c r="F35" s="3" t="n">
        <v>51.5</v>
      </c>
      <c r="G35" s="3" t="n">
        <v>27.8</v>
      </c>
      <c r="H35" s="3" t="n">
        <v>28.5</v>
      </c>
      <c r="I35" s="4">
        <f>100+$C$5*MAX(0,MIN(100,(1-2*$F$5)*IF($D$5=0,0,(B35-$D$5)/$D$5*100)/$E$5*100))+$C$6*MAX(0,MIN(100,(1-2*$F$6)*IF($D$6=0,0,(C35-$D$6)/$D$6*100)/$E$6*100))+$C$7*MAX(0,MIN(100,(1-2*$F$7)*IF($D$7=0,0,(D35-$D$7)/$D$7*100)/$E$7*100))+$C$8*MAX(0,MIN(100,(1-2*$F$8)*IF($D$8=0,0,(E35-$D$8)/$D$8*100)/$E$8*100))+$C$9*MAX(0,MIN(100,(1-2*$F$9)*IF($D$9=0,0,(F35-$D$9)/$D$9*100)/$E$9*100))+$C$10*MAX(0,MIN(100,(1-2*$F$10)*IF($D$10=0,0,(G35-$D$10)/$D$10*100)/$E$10*100))+$C$11*MAX(0,MIN(100,(1-2*$F$11)*IF($D$11=0,0,(H35-$D$11)/$D$11*100)/$E$11*100))</f>
        <v/>
      </c>
      <c r="J35" s="9" t="n">
        <v>177.1</v>
      </c>
      <c r="K35" s="9">
        <f>ROUND(I35-J35,1)</f>
        <v/>
      </c>
    </row>
    <row r="36">
      <c r="A36" s="9" t="inlineStr">
        <is>
          <t>2026-06-01</t>
        </is>
      </c>
      <c r="B36" s="3" t="n">
        <v>96</v>
      </c>
      <c r="C36" s="3" t="n">
        <v>39</v>
      </c>
      <c r="D36" s="3" t="n">
        <v>8.74</v>
      </c>
      <c r="E36" s="3" t="n">
        <v>1580</v>
      </c>
      <c r="F36" s="3" t="n">
        <v>54</v>
      </c>
      <c r="G36" s="3" t="n">
        <v>29.5</v>
      </c>
      <c r="H36" s="3" t="n">
        <v>31</v>
      </c>
      <c r="I36" s="4">
        <f>100+$C$5*MAX(0,MIN(100,(1-2*$F$5)*IF($D$5=0,0,(B36-$D$5)/$D$5*100)/$E$5*100))+$C$6*MAX(0,MIN(100,(1-2*$F$6)*IF($D$6=0,0,(C36-$D$6)/$D$6*100)/$E$6*100))+$C$7*MAX(0,MIN(100,(1-2*$F$7)*IF($D$7=0,0,(D36-$D$7)/$D$7*100)/$E$7*100))+$C$8*MAX(0,MIN(100,(1-2*$F$8)*IF($D$8=0,0,(E36-$D$8)/$D$8*100)/$E$8*100))+$C$9*MAX(0,MIN(100,(1-2*$F$9)*IF($D$9=0,0,(F36-$D$9)/$D$9*100)/$E$9*100))+$C$10*MAX(0,MIN(100,(1-2*$F$10)*IF($D$10=0,0,(G36-$D$10)/$D$10*100)/$E$10*100))+$C$11*MAX(0,MIN(100,(1-2*$F$11)*IF($D$11=0,0,(H36-$D$11)/$D$11*100)/$E$11*100))</f>
        <v/>
      </c>
      <c r="J36" s="9" t="n">
        <v>184.7</v>
      </c>
      <c r="K36" s="9">
        <f>ROUND(I36-J36,1)</f>
        <v/>
      </c>
    </row>
    <row r="37">
      <c r="A37" s="9" t="inlineStr">
        <is>
          <t>2026-06-08</t>
        </is>
      </c>
      <c r="B37" s="3" t="n">
        <v>98.5</v>
      </c>
      <c r="C37" s="3" t="n">
        <v>29</v>
      </c>
      <c r="D37" s="3" t="n">
        <v>10</v>
      </c>
      <c r="E37" s="3" t="n">
        <v>1640</v>
      </c>
      <c r="F37" s="3" t="n">
        <v>57.2</v>
      </c>
      <c r="G37" s="3" t="n">
        <v>31</v>
      </c>
      <c r="H37" s="3" t="n">
        <v>33</v>
      </c>
      <c r="I37" s="4">
        <f>100+$C$5*MAX(0,MIN(100,(1-2*$F$5)*IF($D$5=0,0,(B37-$D$5)/$D$5*100)/$E$5*100))+$C$6*MAX(0,MIN(100,(1-2*$F$6)*IF($D$6=0,0,(C37-$D$6)/$D$6*100)/$E$6*100))+$C$7*MAX(0,MIN(100,(1-2*$F$7)*IF($D$7=0,0,(D37-$D$7)/$D$7*100)/$E$7*100))+$C$8*MAX(0,MIN(100,(1-2*$F$8)*IF($D$8=0,0,(E37-$D$8)/$D$8*100)/$E$8*100))+$C$9*MAX(0,MIN(100,(1-2*$F$9)*IF($D$9=0,0,(F37-$D$9)/$D$9*100)/$E$9*100))+$C$10*MAX(0,MIN(100,(1-2*$F$10)*IF($D$10=0,0,(G37-$D$10)/$D$10*100)/$E$10*100))+$C$11*MAX(0,MIN(100,(1-2*$F$11)*IF($D$11=0,0,(H37-$D$11)/$D$11*100)/$E$11*100))</f>
        <v/>
      </c>
      <c r="J37" s="9" t="n">
        <v>190.2</v>
      </c>
      <c r="K37" s="9">
        <f>ROUND(I37-J37,1)</f>
        <v/>
      </c>
    </row>
    <row r="38">
      <c r="A38" s="9" t="inlineStr">
        <is>
          <t>2026-06-15</t>
        </is>
      </c>
      <c r="B38" s="3" t="n">
        <v>91</v>
      </c>
      <c r="C38" s="3" t="n">
        <v>83</v>
      </c>
      <c r="D38" s="3" t="n">
        <v>5</v>
      </c>
      <c r="E38" s="3" t="n">
        <v>1380</v>
      </c>
      <c r="F38" s="3" t="n">
        <v>47</v>
      </c>
      <c r="G38" s="3" t="n">
        <v>23.5</v>
      </c>
      <c r="H38" s="3" t="n">
        <v>25</v>
      </c>
      <c r="I38" s="4">
        <f>100+$C$5*MAX(0,MIN(100,(1-2*$F$5)*IF($D$5=0,0,(B38-$D$5)/$D$5*100)/$E$5*100))+$C$6*MAX(0,MIN(100,(1-2*$F$6)*IF($D$6=0,0,(C38-$D$6)/$D$6*100)/$E$6*100))+$C$7*MAX(0,MIN(100,(1-2*$F$7)*IF($D$7=0,0,(D38-$D$7)/$D$7*100)/$E$7*100))+$C$8*MAX(0,MIN(100,(1-2*$F$8)*IF($D$8=0,0,(E38-$D$8)/$D$8*100)/$E$8*100))+$C$9*MAX(0,MIN(100,(1-2*$F$9)*IF($D$9=0,0,(F38-$D$9)/$D$9*100)/$E$9*100))+$C$10*MAX(0,MIN(100,(1-2*$F$10)*IF($D$10=0,0,(G38-$D$10)/$D$10*100)/$E$10*100))+$C$11*MAX(0,MIN(100,(1-2*$F$11)*IF($D$11=0,0,(H38-$D$11)/$D$11*100)/$E$11*100))</f>
        <v/>
      </c>
      <c r="J38" s="9" t="n">
        <v>165</v>
      </c>
      <c r="K38" s="9">
        <f>ROUND(I38-J38,1)</f>
        <v/>
      </c>
    </row>
    <row r="39">
      <c r="A39" s="9" t="inlineStr">
        <is>
          <t>2026-06-22</t>
        </is>
      </c>
      <c r="B39" s="3" t="n">
        <v>93.5</v>
      </c>
      <c r="C39" s="3" t="n">
        <v>65</v>
      </c>
      <c r="D39" s="3" t="n">
        <v>5.71</v>
      </c>
      <c r="E39" s="3" t="n">
        <v>1420</v>
      </c>
      <c r="F39" s="3" t="n">
        <v>49.5</v>
      </c>
      <c r="G39" s="3" t="n">
        <v>25</v>
      </c>
      <c r="H39" s="3" t="n">
        <v>26.5</v>
      </c>
      <c r="I39" s="4">
        <f>100+$C$5*MAX(0,MIN(100,(1-2*$F$5)*IF($D$5=0,0,(B39-$D$5)/$D$5*100)/$E$5*100))+$C$6*MAX(0,MIN(100,(1-2*$F$6)*IF($D$6=0,0,(C39-$D$6)/$D$6*100)/$E$6*100))+$C$7*MAX(0,MIN(100,(1-2*$F$7)*IF($D$7=0,0,(D39-$D$7)/$D$7*100)/$E$7*100))+$C$8*MAX(0,MIN(100,(1-2*$F$8)*IF($D$8=0,0,(E39-$D$8)/$D$8*100)/$E$8*100))+$C$9*MAX(0,MIN(100,(1-2*$F$9)*IF($D$9=0,0,(F39-$D$9)/$D$9*100)/$E$9*100))+$C$10*MAX(0,MIN(100,(1-2*$F$10)*IF($D$10=0,0,(G39-$D$10)/$D$10*100)/$E$10*100))+$C$11*MAX(0,MIN(100,(1-2*$F$11)*IF($D$11=0,0,(H39-$D$11)/$D$11*100)/$E$11*100))</f>
        <v/>
      </c>
      <c r="J39" s="9" t="n">
        <v>171.2</v>
      </c>
      <c r="K39" s="9">
        <f>ROUND(I39-J39,1)</f>
        <v/>
      </c>
    </row>
    <row r="40">
      <c r="A40" s="9" t="inlineStr">
        <is>
          <t>2026-06-29</t>
        </is>
      </c>
      <c r="B40" s="3" t="n">
        <v>95.8</v>
      </c>
      <c r="C40" s="3" t="n">
        <v>50</v>
      </c>
      <c r="D40" s="3" t="n">
        <v>6.47</v>
      </c>
      <c r="E40" s="3" t="n">
        <v>1470</v>
      </c>
      <c r="F40" s="3" t="n">
        <v>52.1</v>
      </c>
      <c r="G40" s="3" t="n">
        <v>26.8</v>
      </c>
      <c r="H40" s="3" t="n">
        <v>28</v>
      </c>
      <c r="I40" s="4">
        <f>100+$C$5*MAX(0,MIN(100,(1-2*$F$5)*IF($D$5=0,0,(B40-$D$5)/$D$5*100)/$E$5*100))+$C$6*MAX(0,MIN(100,(1-2*$F$6)*IF($D$6=0,0,(C40-$D$6)/$D$6*100)/$E$6*100))+$C$7*MAX(0,MIN(100,(1-2*$F$7)*IF($D$7=0,0,(D40-$D$7)/$D$7*100)/$E$7*100))+$C$8*MAX(0,MIN(100,(1-2*$F$8)*IF($D$8=0,0,(E40-$D$8)/$D$8*100)/$E$8*100))+$C$9*MAX(0,MIN(100,(1-2*$F$9)*IF($D$9=0,0,(F40-$D$9)/$D$9*100)/$E$9*100))+$C$10*MAX(0,MIN(100,(1-2*$F$10)*IF($D$10=0,0,(G40-$D$10)/$D$10*100)/$E$10*100))+$C$11*MAX(0,MIN(100,(1-2*$F$11)*IF($D$11=0,0,(H40-$D$11)/$D$11*100)/$E$11*100))</f>
        <v/>
      </c>
      <c r="J40" s="9" t="n">
        <v>177.3</v>
      </c>
      <c r="K40" s="9">
        <f>ROUND(I40-J40,1)</f>
        <v/>
      </c>
    </row>
    <row r="41">
      <c r="A41" s="9" t="inlineStr">
        <is>
          <t>2026-07-06</t>
        </is>
      </c>
      <c r="B41" s="3" t="n">
        <v>97.2</v>
      </c>
      <c r="C41" s="3" t="n">
        <v>39</v>
      </c>
      <c r="D41" s="3" t="n">
        <v>7.01</v>
      </c>
      <c r="E41" s="3" t="n">
        <v>1510</v>
      </c>
      <c r="F41" s="3" t="n">
        <v>54.5</v>
      </c>
      <c r="G41" s="3" t="n">
        <v>28</v>
      </c>
      <c r="H41" s="3" t="n">
        <v>29.5</v>
      </c>
      <c r="I41" s="4">
        <f>100+$C$5*MAX(0,MIN(100,(1-2*$F$5)*IF($D$5=0,0,(B41-$D$5)/$D$5*100)/$E$5*100))+$C$6*MAX(0,MIN(100,(1-2*$F$6)*IF($D$6=0,0,(C41-$D$6)/$D$6*100)/$E$6*100))+$C$7*MAX(0,MIN(100,(1-2*$F$7)*IF($D$7=0,0,(D41-$D$7)/$D$7*100)/$E$7*100))+$C$8*MAX(0,MIN(100,(1-2*$F$8)*IF($D$8=0,0,(E41-$D$8)/$D$8*100)/$E$8*100))+$C$9*MAX(0,MIN(100,(1-2*$F$9)*IF($D$9=0,0,(F41-$D$9)/$D$9*100)/$E$9*100))+$C$10*MAX(0,MIN(100,(1-2*$F$10)*IF($D$10=0,0,(G41-$D$10)/$D$10*100)/$E$10*100))+$C$11*MAX(0,MIN(100,(1-2*$F$11)*IF($D$11=0,0,(H41-$D$11)/$D$11*100)/$E$11*100))</f>
        <v/>
      </c>
      <c r="J41" s="9" t="n">
        <v>181.3</v>
      </c>
      <c r="K41" s="9">
        <f>ROUND(I41-J41,1)</f>
        <v/>
      </c>
    </row>
    <row r="42">
      <c r="A42" s="9" t="inlineStr">
        <is>
          <t>2026-07-13</t>
        </is>
      </c>
      <c r="B42" s="3" t="n">
        <v>94.8</v>
      </c>
      <c r="C42" s="3" t="n">
        <v>65</v>
      </c>
      <c r="D42" s="3" t="n">
        <v>5.47</v>
      </c>
      <c r="E42" s="3" t="n">
        <v>1410</v>
      </c>
      <c r="F42" s="3" t="n">
        <v>50.2</v>
      </c>
      <c r="G42" s="3" t="n">
        <v>25.5</v>
      </c>
      <c r="H42" s="3" t="n">
        <v>26</v>
      </c>
      <c r="I42" s="4">
        <f>100+$C$5*MAX(0,MIN(100,(1-2*$F$5)*IF($D$5=0,0,(B42-$D$5)/$D$5*100)/$E$5*100))+$C$6*MAX(0,MIN(100,(1-2*$F$6)*IF($D$6=0,0,(C42-$D$6)/$D$6*100)/$E$6*100))+$C$7*MAX(0,MIN(100,(1-2*$F$7)*IF($D$7=0,0,(D42-$D$7)/$D$7*100)/$E$7*100))+$C$8*MAX(0,MIN(100,(1-2*$F$8)*IF($D$8=0,0,(E42-$D$8)/$D$8*100)/$E$8*100))+$C$9*MAX(0,MIN(100,(1-2*$F$9)*IF($D$9=0,0,(F42-$D$9)/$D$9*100)/$E$9*100))+$C$10*MAX(0,MIN(100,(1-2*$F$10)*IF($D$10=0,0,(G42-$D$10)/$D$10*100)/$E$10*100))+$C$11*MAX(0,MIN(100,(1-2*$F$11)*IF($D$11=0,0,(H42-$D$11)/$D$11*100)/$E$11*100))</f>
        <v/>
      </c>
      <c r="J42" s="9" t="n">
        <v>172</v>
      </c>
      <c r="K42" s="9">
        <f>ROUND(I42-J42,1)</f>
        <v/>
      </c>
    </row>
    <row r="43">
      <c r="A43" s="9" t="inlineStr">
        <is>
          <t>2026-07-20</t>
        </is>
      </c>
      <c r="B43" s="3" t="n">
        <v>96.77999877929688</v>
      </c>
      <c r="C43" s="3" t="n">
        <v>105</v>
      </c>
      <c r="D43" s="3" t="n">
        <v>7.5</v>
      </c>
      <c r="E43" s="3" t="n">
        <v>1360</v>
      </c>
      <c r="F43" s="3" t="n">
        <v>63.57500076293945</v>
      </c>
      <c r="G43" s="3" t="n">
        <v>18.70000076293945</v>
      </c>
      <c r="H43" s="3" t="n">
        <v>24</v>
      </c>
      <c r="I43" s="4">
        <f>100+$C$5*MAX(0,MIN(100,(1-2*$F$5)*IF($D$5=0,0,(B43-$D$5)/$D$5*100)/$E$5*100))+$C$6*MAX(0,MIN(100,(1-2*$F$6)*IF($D$6=0,0,(C43-$D$6)/$D$6*100)/$E$6*100))+$C$7*MAX(0,MIN(100,(1-2*$F$7)*IF($D$7=0,0,(D43-$D$7)/$D$7*100)/$E$7*100))+$C$8*MAX(0,MIN(100,(1-2*$F$8)*IF($D$8=0,0,(E43-$D$8)/$D$8*100)/$E$8*100))+$C$9*MAX(0,MIN(100,(1-2*$F$9)*IF($D$9=0,0,(F43-$D$9)/$D$9*100)/$E$9*100))+$C$10*MAX(0,MIN(100,(1-2*$F$10)*IF($D$10=0,0,(G43-$D$10)/$D$10*100)/$E$10*100))+$C$11*MAX(0,MIN(100,(1-2*$F$11)*IF($D$11=0,0,(H43-$D$11)/$D$11*100)/$E$11*100))</f>
        <v/>
      </c>
      <c r="J43" s="9" t="n">
        <v>176.1</v>
      </c>
      <c r="K43" s="9">
        <f>ROUND(I43-J43,1)</f>
        <v/>
      </c>
    </row>
    <row r="44">
      <c r="A44" s="9" t="inlineStr">
        <is>
          <t>2026-07-27</t>
        </is>
      </c>
      <c r="B44" s="3" t="n">
        <v>92.83999633789062</v>
      </c>
      <c r="C44" s="3" t="n">
        <v>105</v>
      </c>
      <c r="D44" s="3" t="n">
        <v>7.5</v>
      </c>
      <c r="E44" s="3" t="n">
        <v>1360</v>
      </c>
      <c r="F44" s="3" t="n">
        <v>63.57500076293945</v>
      </c>
      <c r="G44" s="3" t="n">
        <v>18.70000076293945</v>
      </c>
      <c r="H44" s="3" t="n">
        <v>24</v>
      </c>
      <c r="I44" s="4">
        <f>100+$C$5*MAX(0,MIN(100,(1-2*$F$5)*IF($D$5=0,0,(B44-$D$5)/$D$5*100)/$E$5*100))+$C$6*MAX(0,MIN(100,(1-2*$F$6)*IF($D$6=0,0,(C44-$D$6)/$D$6*100)/$E$6*100))+$C$7*MAX(0,MIN(100,(1-2*$F$7)*IF($D$7=0,0,(D44-$D$7)/$D$7*100)/$E$7*100))+$C$8*MAX(0,MIN(100,(1-2*$F$8)*IF($D$8=0,0,(E44-$D$8)/$D$8*100)/$E$8*100))+$C$9*MAX(0,MIN(100,(1-2*$F$9)*IF($D$9=0,0,(F44-$D$9)/$D$9*100)/$E$9*100))+$C$10*MAX(0,MIN(100,(1-2*$F$10)*IF($D$10=0,0,(G44-$D$10)/$D$10*100)/$E$10*100))+$C$11*MAX(0,MIN(100,(1-2*$F$11)*IF($D$11=0,0,(H44-$D$11)/$D$11*100)/$E$11*100))</f>
        <v/>
      </c>
      <c r="J44" s="9" t="n">
        <v>172.8</v>
      </c>
      <c r="K44" s="9">
        <f>ROUND(I44-J44,1)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2026-07-27T05:31:15Z</dcterms:created>
  <dcterms:modified xmlns:dcterms="http://purl.org/dc/terms/" xmlns:xsi="http://www.w3.org/2001/XMLSchema-instance" xsi:type="dcterms:W3CDTF">2026-07-27T05:31:15Z</dcterms:modified>
</cp:coreProperties>
</file>